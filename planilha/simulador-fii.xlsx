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G\Desktop\"/>
    </mc:Choice>
  </mc:AlternateContent>
  <xr:revisionPtr revIDLastSave="0" documentId="13_ncr:1_{BFDC37FD-AAB6-4059-B54F-8A4A655B0A24}" xr6:coauthVersionLast="47" xr6:coauthVersionMax="47" xr10:uidLastSave="{00000000-0000-0000-0000-000000000000}"/>
  <bookViews>
    <workbookView xWindow="-120" yWindow="-120" windowWidth="20730" windowHeight="11160" tabRatio="381" xr2:uid="{B95A1EE6-6FB1-4DA0-ADF1-B69AB1A57DF9}"/>
  </bookViews>
  <sheets>
    <sheet name="APP" sheetId="1" r:id="rId1"/>
    <sheet name="Planilha2" sheetId="2" r:id="rId2"/>
  </sheets>
  <definedNames>
    <definedName name="aporte">APP!$D$15</definedName>
    <definedName name="patrimonio">APP!$D$18</definedName>
    <definedName name="qtd_anos">APP!$D$16</definedName>
    <definedName name="rendimento_carteira">APP!$D$11</definedName>
    <definedName name="salario">APP!$D$10</definedName>
    <definedName name="sugestao_investimento">APP!$D$12</definedName>
    <definedName name="taxa_mensal">APP!$D$17</definedName>
  </definedNames>
  <calcPr calcId="191029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34" i="1" l="1"/>
  <c r="C35" i="1"/>
  <c r="C36" i="1"/>
  <c r="C37" i="1"/>
  <c r="C38" i="1"/>
  <c r="C33" i="1"/>
  <c r="A9" i="2"/>
  <c r="A10" i="2"/>
  <c r="A11" i="2"/>
  <c r="A12" i="2"/>
  <c r="A13" i="2"/>
  <c r="A14" i="2"/>
  <c r="A15" i="2"/>
  <c r="A16" i="2"/>
  <c r="A17" i="2"/>
  <c r="A18" i="2"/>
  <c r="A19" i="2"/>
  <c r="A20" i="2"/>
  <c r="A4" i="2"/>
  <c r="A5" i="2"/>
  <c r="A6" i="2"/>
  <c r="A7" i="2"/>
  <c r="A8" i="2"/>
  <c r="A3" i="2"/>
  <c r="C30" i="1"/>
  <c r="D34" i="1" s="1"/>
  <c r="D18" i="1"/>
  <c r="D19" i="1" s="1"/>
  <c r="D12" i="1"/>
  <c r="C23" i="1"/>
  <c r="D23" i="1" s="1"/>
  <c r="C24" i="1"/>
  <c r="D24" i="1" s="1"/>
  <c r="C25" i="1"/>
  <c r="D25" i="1" s="1"/>
  <c r="C26" i="1"/>
  <c r="D26" i="1" s="1"/>
  <c r="C22" i="1"/>
  <c r="D22" i="1" s="1"/>
  <c r="D37" i="1" l="1"/>
  <c r="D36" i="1"/>
  <c r="D33" i="1"/>
  <c r="D35" i="1"/>
  <c r="D38" i="1"/>
  <c r="D39" i="1"/>
</calcChain>
</file>

<file path=xl/sharedStrings.xml><?xml version="1.0" encoding="utf-8"?>
<sst xmlns="http://schemas.openxmlformats.org/spreadsheetml/2006/main" count="69" uniqueCount="33">
  <si>
    <t>INVESTIMENTO MENSAL</t>
  </si>
  <si>
    <t>Quanto investir por mês?</t>
  </si>
  <si>
    <t>Por quantos anos?</t>
  </si>
  <si>
    <t>Qual a taxa de rendimento mensal?</t>
  </si>
  <si>
    <t>Quanto de patrimônio vai acumular?</t>
  </si>
  <si>
    <t>Quanto vai receber de dividendos por mês?</t>
  </si>
  <si>
    <t>Cenários</t>
  </si>
  <si>
    <t>Quanto em 2 anos?</t>
  </si>
  <si>
    <t>Quanto em 5 anos?</t>
  </si>
  <si>
    <t>Quanto em 10 anos?</t>
  </si>
  <si>
    <t>Quanto em 20 anos?</t>
  </si>
  <si>
    <t>Quanto em 30 anos?</t>
  </si>
  <si>
    <t>Dividendo</t>
  </si>
  <si>
    <t>Rendimento Carteira</t>
  </si>
  <si>
    <t>Sugestão de Investimento</t>
  </si>
  <si>
    <t>Salário</t>
  </si>
  <si>
    <t>CONFIGURAÇÕES</t>
  </si>
  <si>
    <t>Conservador</t>
  </si>
  <si>
    <t>PERFIL</t>
  </si>
  <si>
    <t>VALOR A SER INVESTIDO POR MÊS</t>
  </si>
  <si>
    <t>TIPO DE FII</t>
  </si>
  <si>
    <t>Percentual Sugerido</t>
  </si>
  <si>
    <t>Valores</t>
  </si>
  <si>
    <t>PAPEL</t>
  </si>
  <si>
    <t>TIJOLO</t>
  </si>
  <si>
    <t>HÍBRIDOS</t>
  </si>
  <si>
    <t>FOFs</t>
  </si>
  <si>
    <t>DESENVOLVIMENTO</t>
  </si>
  <si>
    <t>HOTELARIA</t>
  </si>
  <si>
    <t>%</t>
  </si>
  <si>
    <t>CHAVE</t>
  </si>
  <si>
    <t>Moderado</t>
  </si>
  <si>
    <t>Agressivo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</si>
</sst>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R$&quot;\ #,##0.00;[Red]\-&quot;R$&quot;\ #,##0.00"/>
    <numFmt numFmtId="44" formatCode="_-&quot;R$&quot;\ * #,##0.00_-;\-&quot;R$&quot;\ * #,##0.00_-;_-&quot;R$&quot;\ * &quot;-&quot;??_-;_-@_-"/>
    <numFmt numFmtId="164" formatCode="&quot;R$&quot;\ #,##0.00"/>
  </numFmts>
  <fonts count="1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20"/>
      <color theme="0"/>
      <name val="Aptos Narrow"/>
      <family val="2"/>
      <scheme val="minor"/>
    </font>
    <font>
      <sz val="11"/>
      <color rgb="FF9C5700"/>
      <name val="Aptos Narrow"/>
      <family val="2"/>
      <scheme val="minor"/>
    </font>
    <font>
      <b/>
      <sz val="18"/>
      <color theme="0"/>
      <name val="Aptos Narrow"/>
      <family val="2"/>
      <scheme val="minor"/>
    </font>
    <font>
      <b/>
      <sz val="18"/>
      <color theme="0"/>
      <name val="Segoe UI Semibold"/>
      <family val="2"/>
    </font>
    <font>
      <b/>
      <sz val="20"/>
      <color theme="0"/>
      <name val="Segoe UI Semibold"/>
      <family val="2"/>
    </font>
    <font>
      <b/>
      <sz val="14"/>
      <color theme="0"/>
      <name val="Segoe UI Semibold"/>
      <family val="2"/>
    </font>
    <font>
      <sz val="12"/>
      <color theme="1"/>
      <name val="Segoe UI"/>
      <family val="2"/>
    </font>
    <font>
      <sz val="11"/>
      <color theme="1"/>
      <name val="Segoe UI"/>
      <family val="2"/>
    </font>
    <font>
      <b/>
      <sz val="11"/>
      <color theme="1"/>
      <name val="Segoe UI"/>
      <family val="2"/>
    </font>
    <font>
      <b/>
      <sz val="12"/>
      <color theme="1"/>
      <name val="Segoe UI"/>
      <family val="2"/>
    </font>
  </fonts>
  <fills count="8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EB9C"/>
      </patternFill>
    </fill>
    <fill>
      <patternFill patternType="solid">
        <fgColor rgb="FFFFC000"/>
        <bgColor indexed="64"/>
      </patternFill>
    </fill>
    <fill>
      <patternFill patternType="solid">
        <fgColor theme="1"/>
        <bgColor indexed="64"/>
      </patternFill>
    </fill>
  </fills>
  <borders count="2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theme="0" tint="-4.9989318521683403E-2"/>
      </right>
      <top/>
      <bottom style="thin">
        <color theme="0" tint="-4.9989318521683403E-2"/>
      </bottom>
      <diagonal/>
    </border>
    <border>
      <left style="thin">
        <color theme="0" tint="-4.9989318521683403E-2"/>
      </left>
      <right style="thin">
        <color theme="0" tint="-4.9989318521683403E-2"/>
      </right>
      <top/>
      <bottom style="thin">
        <color theme="0" tint="-4.9989318521683403E-2"/>
      </bottom>
      <diagonal/>
    </border>
    <border>
      <left style="thin">
        <color theme="0" tint="-4.9989318521683403E-2"/>
      </left>
      <right style="medium">
        <color indexed="64"/>
      </right>
      <top/>
      <bottom style="thin">
        <color theme="0" tint="-4.9989318521683403E-2"/>
      </bottom>
      <diagonal/>
    </border>
    <border>
      <left style="medium">
        <color indexed="64"/>
      </left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theme="0" tint="-4.9989318521683403E-2"/>
      </left>
      <right style="medium">
        <color indexed="64"/>
      </right>
      <top style="thin">
        <color theme="0" tint="-4.9989318521683403E-2"/>
      </top>
      <bottom style="thin">
        <color theme="0" tint="-4.9989318521683403E-2"/>
      </bottom>
      <diagonal/>
    </border>
    <border>
      <left style="medium">
        <color indexed="64"/>
      </left>
      <right style="thin">
        <color theme="0" tint="-4.9989318521683403E-2"/>
      </right>
      <top style="thin">
        <color theme="0" tint="-4.9989318521683403E-2"/>
      </top>
      <bottom style="medium">
        <color indexed="64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 style="medium">
        <color indexed="64"/>
      </bottom>
      <diagonal/>
    </border>
    <border>
      <left style="thin">
        <color theme="0" tint="-4.9989318521683403E-2"/>
      </left>
      <right style="medium">
        <color indexed="64"/>
      </right>
      <top style="thin">
        <color theme="0" tint="-4.9989318521683403E-2"/>
      </top>
      <bottom style="medium">
        <color indexed="64"/>
      </bottom>
      <diagonal/>
    </border>
    <border>
      <left style="medium">
        <color indexed="64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medium">
        <color indexed="64"/>
      </right>
      <top/>
      <bottom style="thin">
        <color theme="0" tint="-0.34998626667073579"/>
      </bottom>
      <diagonal/>
    </border>
    <border>
      <left style="medium">
        <color indexed="64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medium">
        <color indexed="64"/>
      </right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indexed="64"/>
      </left>
      <right style="thin">
        <color theme="0" tint="-0.34998626667073579"/>
      </right>
      <top style="thin">
        <color theme="0" tint="-0.34998626667073579"/>
      </top>
      <bottom style="medium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medium">
        <color indexed="64"/>
      </bottom>
      <diagonal/>
    </border>
    <border>
      <left style="thin">
        <color theme="0" tint="-0.34998626667073579"/>
      </left>
      <right style="medium">
        <color indexed="64"/>
      </right>
      <top style="thin">
        <color theme="0" tint="-0.34998626667073579"/>
      </top>
      <bottom style="medium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5" fillId="5" borderId="0" applyNumberFormat="0" applyBorder="0" applyAlignment="0" applyProtection="0"/>
  </cellStyleXfs>
  <cellXfs count="52">
    <xf numFmtId="0" fontId="0" fillId="0" borderId="0" xfId="0"/>
    <xf numFmtId="0" fontId="3" fillId="0" borderId="0" xfId="0" applyFont="1"/>
    <xf numFmtId="0" fontId="0" fillId="0" borderId="0" xfId="0" applyAlignment="1">
      <alignment horizontal="center"/>
    </xf>
    <xf numFmtId="0" fontId="4" fillId="2" borderId="2" xfId="0" applyFont="1" applyFill="1" applyBorder="1" applyAlignment="1">
      <alignment vertical="center"/>
    </xf>
    <xf numFmtId="0" fontId="6" fillId="6" borderId="2" xfId="0" applyFont="1" applyFill="1" applyBorder="1" applyAlignment="1">
      <alignment vertical="center"/>
    </xf>
    <xf numFmtId="0" fontId="9" fillId="2" borderId="2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left" indent="3"/>
    </xf>
    <xf numFmtId="8" fontId="11" fillId="4" borderId="6" xfId="0" applyNumberFormat="1" applyFont="1" applyFill="1" applyBorder="1" applyAlignment="1">
      <alignment horizontal="center"/>
    </xf>
    <xf numFmtId="8" fontId="11" fillId="4" borderId="7" xfId="0" applyNumberFormat="1" applyFont="1" applyFill="1" applyBorder="1" applyAlignment="1">
      <alignment horizontal="center"/>
    </xf>
    <xf numFmtId="0" fontId="10" fillId="4" borderId="8" xfId="0" applyFont="1" applyFill="1" applyBorder="1" applyAlignment="1">
      <alignment horizontal="left" indent="3"/>
    </xf>
    <xf numFmtId="8" fontId="11" fillId="4" borderId="9" xfId="0" applyNumberFormat="1" applyFont="1" applyFill="1" applyBorder="1" applyAlignment="1">
      <alignment horizontal="center"/>
    </xf>
    <xf numFmtId="8" fontId="11" fillId="4" borderId="10" xfId="0" applyNumberFormat="1" applyFont="1" applyFill="1" applyBorder="1" applyAlignment="1">
      <alignment horizontal="center"/>
    </xf>
    <xf numFmtId="0" fontId="10" fillId="4" borderId="11" xfId="0" applyFont="1" applyFill="1" applyBorder="1" applyAlignment="1">
      <alignment horizontal="left" indent="3"/>
    </xf>
    <xf numFmtId="8" fontId="11" fillId="4" borderId="12" xfId="0" applyNumberFormat="1" applyFont="1" applyFill="1" applyBorder="1" applyAlignment="1">
      <alignment horizontal="center"/>
    </xf>
    <xf numFmtId="8" fontId="11" fillId="4" borderId="13" xfId="0" applyNumberFormat="1" applyFont="1" applyFill="1" applyBorder="1" applyAlignment="1">
      <alignment horizontal="center"/>
    </xf>
    <xf numFmtId="164" fontId="11" fillId="0" borderId="16" xfId="0" applyNumberFormat="1" applyFont="1" applyBorder="1" applyAlignment="1">
      <alignment horizontal="center" vertical="center"/>
    </xf>
    <xf numFmtId="10" fontId="11" fillId="0" borderId="19" xfId="0" applyNumberFormat="1" applyFont="1" applyBorder="1" applyAlignment="1">
      <alignment horizontal="center" vertical="center"/>
    </xf>
    <xf numFmtId="164" fontId="11" fillId="0" borderId="22" xfId="0" applyNumberFormat="1" applyFont="1" applyBorder="1" applyAlignment="1">
      <alignment horizontal="center" vertical="center"/>
    </xf>
    <xf numFmtId="164" fontId="12" fillId="0" borderId="16" xfId="1" applyNumberFormat="1" applyFont="1" applyBorder="1" applyAlignment="1">
      <alignment horizontal="center"/>
    </xf>
    <xf numFmtId="0" fontId="12" fillId="0" borderId="19" xfId="0" applyFont="1" applyBorder="1" applyAlignment="1">
      <alignment horizontal="center"/>
    </xf>
    <xf numFmtId="10" fontId="12" fillId="0" borderId="19" xfId="2" applyNumberFormat="1" applyFont="1" applyBorder="1" applyAlignment="1">
      <alignment horizontal="center"/>
    </xf>
    <xf numFmtId="8" fontId="12" fillId="3" borderId="19" xfId="0" applyNumberFormat="1" applyFont="1" applyFill="1" applyBorder="1" applyAlignment="1">
      <alignment horizontal="center"/>
    </xf>
    <xf numFmtId="8" fontId="12" fillId="3" borderId="22" xfId="0" applyNumberFormat="1" applyFont="1" applyFill="1" applyBorder="1" applyAlignment="1">
      <alignment horizontal="center"/>
    </xf>
    <xf numFmtId="0" fontId="5" fillId="5" borderId="0" xfId="3"/>
    <xf numFmtId="0" fontId="0" fillId="3" borderId="0" xfId="0" applyFill="1"/>
    <xf numFmtId="0" fontId="5" fillId="5" borderId="0" xfId="3" applyAlignment="1">
      <alignment horizontal="center"/>
    </xf>
    <xf numFmtId="0" fontId="2" fillId="3" borderId="0" xfId="0" applyFont="1" applyFill="1"/>
    <xf numFmtId="9" fontId="0" fillId="0" borderId="0" xfId="0" applyNumberFormat="1" applyAlignment="1">
      <alignment horizontal="center"/>
    </xf>
    <xf numFmtId="0" fontId="2" fillId="4" borderId="0" xfId="0" applyFont="1" applyFill="1" applyAlignment="1">
      <alignment horizontal="center"/>
    </xf>
    <xf numFmtId="0" fontId="2" fillId="4" borderId="0" xfId="0" applyFont="1" applyFill="1"/>
    <xf numFmtId="164" fontId="2" fillId="3" borderId="0" xfId="0" applyNumberFormat="1" applyFont="1" applyFill="1" applyAlignment="1">
      <alignment horizontal="center"/>
    </xf>
    <xf numFmtId="164" fontId="0" fillId="0" borderId="0" xfId="0" applyNumberFormat="1" applyAlignment="1">
      <alignment horizontal="center"/>
    </xf>
    <xf numFmtId="164" fontId="2" fillId="4" borderId="0" xfId="0" applyNumberFormat="1" applyFont="1" applyFill="1" applyAlignment="1">
      <alignment horizontal="center"/>
    </xf>
    <xf numFmtId="0" fontId="0" fillId="0" borderId="4" xfId="0" applyBorder="1"/>
    <xf numFmtId="0" fontId="0" fillId="0" borderId="4" xfId="0" applyBorder="1" applyAlignment="1">
      <alignment horizontal="center"/>
    </xf>
    <xf numFmtId="9" fontId="0" fillId="0" borderId="4" xfId="0" applyNumberFormat="1" applyBorder="1" applyAlignment="1">
      <alignment horizontal="center"/>
    </xf>
    <xf numFmtId="0" fontId="3" fillId="7" borderId="0" xfId="0" applyFont="1" applyFill="1"/>
    <xf numFmtId="0" fontId="3" fillId="7" borderId="0" xfId="0" applyFont="1" applyFill="1" applyAlignment="1">
      <alignment horizontal="center"/>
    </xf>
    <xf numFmtId="0" fontId="10" fillId="3" borderId="20" xfId="0" applyFont="1" applyFill="1" applyBorder="1" applyAlignment="1">
      <alignment horizontal="left" indent="3"/>
    </xf>
    <xf numFmtId="0" fontId="10" fillId="3" borderId="21" xfId="0" applyFont="1" applyFill="1" applyBorder="1" applyAlignment="1">
      <alignment horizontal="left" indent="3"/>
    </xf>
    <xf numFmtId="0" fontId="10" fillId="3" borderId="17" xfId="0" applyFont="1" applyFill="1" applyBorder="1" applyAlignment="1">
      <alignment horizontal="left" indent="3"/>
    </xf>
    <xf numFmtId="0" fontId="10" fillId="3" borderId="18" xfId="0" applyFont="1" applyFill="1" applyBorder="1" applyAlignment="1">
      <alignment horizontal="left" indent="3"/>
    </xf>
    <xf numFmtId="0" fontId="10" fillId="3" borderId="14" xfId="0" applyFont="1" applyFill="1" applyBorder="1" applyAlignment="1">
      <alignment horizontal="left" indent="3"/>
    </xf>
    <xf numFmtId="0" fontId="10" fillId="3" borderId="15" xfId="0" applyFont="1" applyFill="1" applyBorder="1" applyAlignment="1">
      <alignment horizontal="left" indent="3"/>
    </xf>
    <xf numFmtId="0" fontId="7" fillId="6" borderId="1" xfId="0" applyFont="1" applyFill="1" applyBorder="1" applyAlignment="1">
      <alignment horizontal="center" vertical="center"/>
    </xf>
    <xf numFmtId="0" fontId="7" fillId="6" borderId="3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center" vertical="center"/>
    </xf>
    <xf numFmtId="0" fontId="13" fillId="3" borderId="20" xfId="0" applyFont="1" applyFill="1" applyBorder="1" applyAlignment="1">
      <alignment horizontal="left" indent="3"/>
    </xf>
    <xf numFmtId="0" fontId="13" fillId="3" borderId="21" xfId="0" applyFont="1" applyFill="1" applyBorder="1" applyAlignment="1">
      <alignment horizontal="left" indent="3"/>
    </xf>
    <xf numFmtId="0" fontId="13" fillId="3" borderId="17" xfId="0" applyFont="1" applyFill="1" applyBorder="1" applyAlignment="1">
      <alignment horizontal="left" indent="3"/>
    </xf>
    <xf numFmtId="0" fontId="13" fillId="3" borderId="18" xfId="0" applyFont="1" applyFill="1" applyBorder="1" applyAlignment="1">
      <alignment horizontal="left" indent="3"/>
    </xf>
  </cellXfs>
  <cellStyles count="4">
    <cellStyle name="Moeda" xfId="1" builtinId="4"/>
    <cellStyle name="Neutro" xfId="3" builtinId="28"/>
    <cellStyle name="Normal" xfId="0" builtinId="0"/>
    <cellStyle name="Porcentagem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tx>
            <c:strRef>
              <c:f>APP!$C$32</c:f>
              <c:strCache>
                <c:ptCount val="1"/>
                <c:pt idx="0">
                  <c:v>Percentual Sugerido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1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1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1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F644-4A94-9A0E-2B184BC7C96C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2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F644-4A94-9A0E-2B184BC7C96C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3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3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3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F644-4A94-9A0E-2B184BC7C96C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4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4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4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F644-4A94-9A0E-2B184BC7C96C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5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5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5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9-F644-4A94-9A0E-2B184BC7C96C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6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6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6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B-F644-4A94-9A0E-2B184BC7C96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tx1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APP!$B$33:$B$38</c:f>
              <c:strCache>
                <c:ptCount val="6"/>
                <c:pt idx="0">
                  <c:v>PAPEL</c:v>
                </c:pt>
                <c:pt idx="1">
                  <c:v>TIJOLO</c:v>
                </c:pt>
                <c:pt idx="2">
                  <c:v>HÍBRIDOS</c:v>
                </c:pt>
                <c:pt idx="3">
                  <c:v>FOFs</c:v>
                </c:pt>
                <c:pt idx="4">
                  <c:v>DESENVOLVIMENTO</c:v>
                </c:pt>
                <c:pt idx="5">
                  <c:v>HOTELARIA</c:v>
                </c:pt>
              </c:strCache>
            </c:strRef>
          </c:cat>
          <c:val>
            <c:numRef>
              <c:f>APP!$C$33:$C$38</c:f>
              <c:numCache>
                <c:formatCode>0%</c:formatCode>
                <c:ptCount val="6"/>
                <c:pt idx="0">
                  <c:v>0.5</c:v>
                </c:pt>
                <c:pt idx="1">
                  <c:v>0.1</c:v>
                </c:pt>
                <c:pt idx="2">
                  <c:v>0.05</c:v>
                </c:pt>
                <c:pt idx="3">
                  <c:v>0.05</c:v>
                </c:pt>
                <c:pt idx="4">
                  <c:v>0.2</c:v>
                </c:pt>
                <c:pt idx="5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3B5-4B1B-A2FC-33B67CB070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4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/>
    <cs:fillRef idx="2">
      <cs:styleClr val="auto"/>
    </cs:fillRef>
    <cs:effectRef idx="1"/>
    <cs:fontRef idx="minor">
      <a:schemeClr val="dk1"/>
    </cs:fontRef>
    <cs:spPr/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1</xdr:row>
      <xdr:rowOff>0</xdr:rowOff>
    </xdr:from>
    <xdr:to>
      <xdr:col>3</xdr:col>
      <xdr:colOff>371476</xdr:colOff>
      <xdr:row>7</xdr:row>
      <xdr:rowOff>123825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D453E9E7-8430-BCA5-74B9-41F526C8D55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32" t="33116" r="-732" b="23703"/>
        <a:stretch/>
      </xdr:blipFill>
      <xdr:spPr>
        <a:xfrm>
          <a:off x="476250" y="190500"/>
          <a:ext cx="5781676" cy="1266825"/>
        </a:xfrm>
        <a:prstGeom prst="rect">
          <a:avLst/>
        </a:prstGeom>
      </xdr:spPr>
    </xdr:pic>
    <xdr:clientData/>
  </xdr:twoCellAnchor>
  <xdr:twoCellAnchor>
    <xdr:from>
      <xdr:col>1</xdr:col>
      <xdr:colOff>28575</xdr:colOff>
      <xdr:row>39</xdr:row>
      <xdr:rowOff>185737</xdr:rowOff>
    </xdr:from>
    <xdr:to>
      <xdr:col>4</xdr:col>
      <xdr:colOff>28575</xdr:colOff>
      <xdr:row>54</xdr:row>
      <xdr:rowOff>71437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94641701-ECF3-258A-1D76-6E724C52E89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7D37F4-7FD8-4CC1-B29F-921A16A22E6B}">
  <dimension ref="A8:G39"/>
  <sheetViews>
    <sheetView showGridLines="0" showRowColHeaders="0" tabSelected="1" zoomScale="90" zoomScaleNormal="90" workbookViewId="0">
      <selection activeCell="G10" sqref="G10"/>
    </sheetView>
  </sheetViews>
  <sheetFormatPr defaultColWidth="0" defaultRowHeight="15" x14ac:dyDescent="0.25"/>
  <cols>
    <col min="1" max="1" width="7" customWidth="1"/>
    <col min="2" max="2" width="51.28515625" customWidth="1"/>
    <col min="3" max="3" width="30" customWidth="1"/>
    <col min="4" max="4" width="14.85546875" bestFit="1" customWidth="1"/>
    <col min="5" max="5" width="4" customWidth="1"/>
    <col min="6" max="6" width="3.140625" customWidth="1"/>
    <col min="7" max="7" width="4" customWidth="1"/>
    <col min="8" max="8" width="9.140625" hidden="1" customWidth="1"/>
    <col min="9" max="16384" width="9.140625" hidden="1"/>
  </cols>
  <sheetData>
    <row r="8" spans="2:4" ht="15.75" thickBot="1" x14ac:dyDescent="0.3"/>
    <row r="9" spans="2:4" ht="26.25" x14ac:dyDescent="0.25">
      <c r="B9" s="44" t="s">
        <v>16</v>
      </c>
      <c r="C9" s="45"/>
      <c r="D9" s="4"/>
    </row>
    <row r="10" spans="2:4" ht="17.25" x14ac:dyDescent="0.3">
      <c r="B10" s="42" t="s">
        <v>15</v>
      </c>
      <c r="C10" s="43"/>
      <c r="D10" s="15">
        <v>5000</v>
      </c>
    </row>
    <row r="11" spans="2:4" ht="17.25" x14ac:dyDescent="0.3">
      <c r="B11" s="40" t="s">
        <v>13</v>
      </c>
      <c r="C11" s="41"/>
      <c r="D11" s="16">
        <v>8.8999999999999999E-3</v>
      </c>
    </row>
    <row r="12" spans="2:4" ht="18" thickBot="1" x14ac:dyDescent="0.35">
      <c r="B12" s="38" t="s">
        <v>14</v>
      </c>
      <c r="C12" s="39"/>
      <c r="D12" s="17">
        <f>D10*30%</f>
        <v>1500</v>
      </c>
    </row>
    <row r="13" spans="2:4" ht="15.75" thickBot="1" x14ac:dyDescent="0.3"/>
    <row r="14" spans="2:4" ht="30.75" x14ac:dyDescent="0.25">
      <c r="B14" s="46" t="s">
        <v>0</v>
      </c>
      <c r="C14" s="47"/>
      <c r="D14" s="3"/>
    </row>
    <row r="15" spans="2:4" ht="17.25" x14ac:dyDescent="0.3">
      <c r="B15" s="42" t="s">
        <v>1</v>
      </c>
      <c r="C15" s="43"/>
      <c r="D15" s="18">
        <v>500</v>
      </c>
    </row>
    <row r="16" spans="2:4" ht="17.25" x14ac:dyDescent="0.3">
      <c r="B16" s="40" t="s">
        <v>2</v>
      </c>
      <c r="C16" s="41"/>
      <c r="D16" s="19">
        <v>5</v>
      </c>
    </row>
    <row r="17" spans="1:4" ht="17.25" x14ac:dyDescent="0.3">
      <c r="B17" s="40" t="s">
        <v>3</v>
      </c>
      <c r="C17" s="41"/>
      <c r="D17" s="20">
        <v>1.0789999999999999E-2</v>
      </c>
    </row>
    <row r="18" spans="1:4" ht="17.25" x14ac:dyDescent="0.3">
      <c r="B18" s="50" t="s">
        <v>4</v>
      </c>
      <c r="C18" s="51"/>
      <c r="D18" s="21">
        <f>FV(taxa_mensal,qtd_anos*12,aporte*-1)</f>
        <v>41888.456999243819</v>
      </c>
    </row>
    <row r="19" spans="1:4" ht="18" thickBot="1" x14ac:dyDescent="0.35">
      <c r="B19" s="48" t="s">
        <v>5</v>
      </c>
      <c r="C19" s="49"/>
      <c r="D19" s="22">
        <f>patrimonio*rendimento_carteira</f>
        <v>372.80726729327</v>
      </c>
    </row>
    <row r="20" spans="1:4" ht="15.75" thickBot="1" x14ac:dyDescent="0.3"/>
    <row r="21" spans="1:4" ht="30.75" x14ac:dyDescent="0.25">
      <c r="B21" s="46" t="s">
        <v>6</v>
      </c>
      <c r="C21" s="47"/>
      <c r="D21" s="5" t="s">
        <v>12</v>
      </c>
    </row>
    <row r="22" spans="1:4" ht="17.25" x14ac:dyDescent="0.3">
      <c r="A22" s="1">
        <v>2</v>
      </c>
      <c r="B22" s="6" t="s">
        <v>7</v>
      </c>
      <c r="C22" s="7">
        <f>FV($D$17,$A22*12,$D$15*-1)</f>
        <v>13613.813648822608</v>
      </c>
      <c r="D22" s="8">
        <f>C22*rendimento_carteira</f>
        <v>121.16294147452122</v>
      </c>
    </row>
    <row r="23" spans="1:4" ht="17.25" x14ac:dyDescent="0.3">
      <c r="A23" s="1">
        <v>5</v>
      </c>
      <c r="B23" s="9" t="s">
        <v>8</v>
      </c>
      <c r="C23" s="10">
        <f>FV($D$17,$A23*12,$D$15*-1)</f>
        <v>41888.456999243819</v>
      </c>
      <c r="D23" s="11">
        <f>C23*rendimento_carteira</f>
        <v>372.80726729327</v>
      </c>
    </row>
    <row r="24" spans="1:4" ht="17.25" x14ac:dyDescent="0.3">
      <c r="A24" s="1">
        <v>10</v>
      </c>
      <c r="B24" s="9" t="s">
        <v>9</v>
      </c>
      <c r="C24" s="10">
        <f>FV($D$17,$A24*12,$D$15*-1)</f>
        <v>121642.1062650861</v>
      </c>
      <c r="D24" s="11">
        <f>C24*rendimento_carteira</f>
        <v>1082.6147457592663</v>
      </c>
    </row>
    <row r="25" spans="1:4" ht="17.25" x14ac:dyDescent="0.3">
      <c r="A25" s="1">
        <v>20</v>
      </c>
      <c r="B25" s="9" t="s">
        <v>10</v>
      </c>
      <c r="C25" s="10">
        <f>FV($D$17,$A25*12,$D$15*-1)</f>
        <v>562599.20004854025</v>
      </c>
      <c r="D25" s="11">
        <f>C25*rendimento_carteira</f>
        <v>5007.1328804320083</v>
      </c>
    </row>
    <row r="26" spans="1:4" ht="18" thickBot="1" x14ac:dyDescent="0.35">
      <c r="A26" s="1">
        <v>30</v>
      </c>
      <c r="B26" s="12" t="s">
        <v>11</v>
      </c>
      <c r="C26" s="13">
        <f>FV($D$17,$A26*12,$D$15*-1)</f>
        <v>2161084.8275023573</v>
      </c>
      <c r="D26" s="14">
        <f>C26*rendimento_carteira</f>
        <v>19233.65496477098</v>
      </c>
    </row>
    <row r="29" spans="1:4" x14ac:dyDescent="0.25">
      <c r="B29" s="23" t="s">
        <v>18</v>
      </c>
      <c r="C29" s="25" t="s">
        <v>32</v>
      </c>
      <c r="D29" s="23"/>
    </row>
    <row r="30" spans="1:4" x14ac:dyDescent="0.25">
      <c r="B30" s="26" t="s">
        <v>19</v>
      </c>
      <c r="C30" s="30">
        <f>aporte</f>
        <v>500</v>
      </c>
      <c r="D30" s="24"/>
    </row>
    <row r="32" spans="1:4" x14ac:dyDescent="0.25">
      <c r="B32" s="28" t="s">
        <v>20</v>
      </c>
      <c r="C32" s="28" t="s">
        <v>21</v>
      </c>
      <c r="D32" s="28" t="s">
        <v>22</v>
      </c>
    </row>
    <row r="33" spans="2:4" x14ac:dyDescent="0.25">
      <c r="B33" s="2" t="s">
        <v>23</v>
      </c>
      <c r="C33" s="27">
        <f>VLOOKUP($C$29&amp;"-"&amp;B33,Planilha2!$A:$D,4,FALSE)</f>
        <v>0.5</v>
      </c>
      <c r="D33" s="31">
        <f>C33*$C$30</f>
        <v>250</v>
      </c>
    </row>
    <row r="34" spans="2:4" x14ac:dyDescent="0.25">
      <c r="B34" s="2" t="s">
        <v>24</v>
      </c>
      <c r="C34" s="27">
        <f>VLOOKUP($C$29&amp;"-"&amp;B34,Planilha2!$A:$D,4,FALSE)</f>
        <v>0.1</v>
      </c>
      <c r="D34" s="31">
        <f t="shared" ref="D34:D38" si="0">C34*$C$30</f>
        <v>50</v>
      </c>
    </row>
    <row r="35" spans="2:4" x14ac:dyDescent="0.25">
      <c r="B35" s="2" t="s">
        <v>25</v>
      </c>
      <c r="C35" s="27">
        <f>VLOOKUP($C$29&amp;"-"&amp;B35,Planilha2!$A:$D,4,FALSE)</f>
        <v>0.05</v>
      </c>
      <c r="D35" s="31">
        <f t="shared" si="0"/>
        <v>25</v>
      </c>
    </row>
    <row r="36" spans="2:4" x14ac:dyDescent="0.25">
      <c r="B36" s="2" t="s">
        <v>26</v>
      </c>
      <c r="C36" s="27">
        <f>VLOOKUP($C$29&amp;"-"&amp;B36,Planilha2!$A:$D,4,FALSE)</f>
        <v>0.05</v>
      </c>
      <c r="D36" s="31">
        <f t="shared" si="0"/>
        <v>25</v>
      </c>
    </row>
    <row r="37" spans="2:4" x14ac:dyDescent="0.25">
      <c r="B37" s="2" t="s">
        <v>27</v>
      </c>
      <c r="C37" s="27">
        <f>VLOOKUP($C$29&amp;"-"&amp;B37,Planilha2!$A:$D,4,FALSE)</f>
        <v>0.2</v>
      </c>
      <c r="D37" s="31">
        <f t="shared" si="0"/>
        <v>100</v>
      </c>
    </row>
    <row r="38" spans="2:4" x14ac:dyDescent="0.25">
      <c r="B38" s="2" t="s">
        <v>28</v>
      </c>
      <c r="C38" s="27">
        <f>VLOOKUP($C$29&amp;"-"&amp;B38,Planilha2!$A:$D,4,FALSE)</f>
        <v>0.1</v>
      </c>
      <c r="D38" s="31">
        <f t="shared" si="0"/>
        <v>50</v>
      </c>
    </row>
    <row r="39" spans="2:4" x14ac:dyDescent="0.25">
      <c r="B39" s="29"/>
      <c r="C39" s="29"/>
      <c r="D39" s="32">
        <f>SUM(D33:D38)</f>
        <v>500</v>
      </c>
    </row>
  </sheetData>
  <mergeCells count="11">
    <mergeCell ref="B12:C12"/>
    <mergeCell ref="B11:C11"/>
    <mergeCell ref="B10:C10"/>
    <mergeCell ref="B9:C9"/>
    <mergeCell ref="B21:C21"/>
    <mergeCell ref="B14:C14"/>
    <mergeCell ref="B19:C19"/>
    <mergeCell ref="B18:C18"/>
    <mergeCell ref="B17:C17"/>
    <mergeCell ref="B16:C16"/>
    <mergeCell ref="B15:C15"/>
  </mergeCells>
  <dataValidations count="1">
    <dataValidation type="list" allowBlank="1" showInputMessage="1" showErrorMessage="1" sqref="C29" xr:uid="{22850494-B35C-4CC4-95A2-A0C92B144078}">
      <formula1>"Conservador,Moderado,Agressivo"</formula1>
    </dataValidation>
  </dataValidations>
  <pageMargins left="0.511811024" right="0.511811024" top="0.78740157499999996" bottom="0.78740157499999996" header="0.31496062000000002" footer="0.31496062000000002"/>
  <pageSetup paperSize="9" orientation="portrait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230139-A022-431B-B8C6-E784A3346461}">
  <dimension ref="A2:E20"/>
  <sheetViews>
    <sheetView showGridLines="0" workbookViewId="0">
      <selection activeCell="F1" sqref="F1:XFD1048576"/>
    </sheetView>
  </sheetViews>
  <sheetFormatPr defaultColWidth="0" defaultRowHeight="15" x14ac:dyDescent="0.25"/>
  <cols>
    <col min="1" max="1" width="30.85546875" bestFit="1" customWidth="1"/>
    <col min="2" max="2" width="12.140625" bestFit="1" customWidth="1"/>
    <col min="3" max="3" width="18.5703125" bestFit="1" customWidth="1"/>
    <col min="4" max="5" width="9.140625" customWidth="1"/>
    <col min="6" max="16384" width="9.140625" hidden="1"/>
  </cols>
  <sheetData>
    <row r="2" spans="1:4" x14ac:dyDescent="0.25">
      <c r="A2" s="36" t="s">
        <v>30</v>
      </c>
      <c r="B2" s="37" t="s">
        <v>18</v>
      </c>
      <c r="C2" s="37" t="s">
        <v>20</v>
      </c>
      <c r="D2" s="37" t="s">
        <v>29</v>
      </c>
    </row>
    <row r="3" spans="1:4" x14ac:dyDescent="0.25">
      <c r="A3" t="str">
        <f>B3&amp;"-"&amp;C3</f>
        <v>Conservador-PAPEL</v>
      </c>
      <c r="B3" s="2" t="s">
        <v>17</v>
      </c>
      <c r="C3" s="2" t="s">
        <v>23</v>
      </c>
      <c r="D3" s="27">
        <v>0.4</v>
      </c>
    </row>
    <row r="4" spans="1:4" x14ac:dyDescent="0.25">
      <c r="A4" t="str">
        <f t="shared" ref="A4:A20" si="0">B4&amp;"-"&amp;C4</f>
        <v>Conservador-TIJOLO</v>
      </c>
      <c r="B4" s="2" t="s">
        <v>17</v>
      </c>
      <c r="C4" s="2" t="s">
        <v>24</v>
      </c>
      <c r="D4" s="27">
        <v>0.4</v>
      </c>
    </row>
    <row r="5" spans="1:4" x14ac:dyDescent="0.25">
      <c r="A5" t="str">
        <f t="shared" si="0"/>
        <v>Conservador-HÍBRIDOS</v>
      </c>
      <c r="B5" s="2" t="s">
        <v>17</v>
      </c>
      <c r="C5" s="2" t="s">
        <v>25</v>
      </c>
      <c r="D5" s="27">
        <v>0.2</v>
      </c>
    </row>
    <row r="6" spans="1:4" x14ac:dyDescent="0.25">
      <c r="A6" t="str">
        <f t="shared" si="0"/>
        <v>Conservador-FOFs</v>
      </c>
      <c r="B6" s="2" t="s">
        <v>17</v>
      </c>
      <c r="C6" s="2" t="s">
        <v>26</v>
      </c>
      <c r="D6" s="27">
        <v>0.0</v>
      </c>
    </row>
    <row r="7" spans="1:4" x14ac:dyDescent="0.25">
      <c r="A7" t="str">
        <f t="shared" si="0"/>
        <v>Conservador-DESENVOLVIMENTO</v>
      </c>
      <c r="B7" s="2" t="s">
        <v>17</v>
      </c>
      <c r="C7" s="2" t="s">
        <v>27</v>
      </c>
      <c r="D7" s="27">
        <v>0.0</v>
      </c>
    </row>
    <row r="8" spans="1:4" ht="15.75" thickBot="1" x14ac:dyDescent="0.3">
      <c r="A8" s="33" t="str">
        <f t="shared" si="0"/>
        <v>Conservador-HOTELARIA</v>
      </c>
      <c r="B8" s="34" t="s">
        <v>17</v>
      </c>
      <c r="C8" s="34" t="s">
        <v>28</v>
      </c>
      <c r="D8" s="35">
        <v>0.0</v>
      </c>
    </row>
    <row r="9" spans="1:4" x14ac:dyDescent="0.25">
      <c r="A9" t="str">
        <f t="shared" si="0"/>
        <v>Moderado-PAPEL</v>
      </c>
      <c r="B9" t="s">
        <v>31</v>
      </c>
      <c r="C9" s="2" t="s">
        <v>23</v>
      </c>
      <c r="D9" s="27">
        <v>0.25</v>
      </c>
    </row>
    <row r="10" spans="1:4" x14ac:dyDescent="0.25">
      <c r="A10" t="str">
        <f t="shared" si="0"/>
        <v>Moderado-TIJOLO</v>
      </c>
      <c r="B10" t="s">
        <v>31</v>
      </c>
      <c r="C10" s="2" t="s">
        <v>24</v>
      </c>
      <c r="D10" s="27">
        <v>0.35</v>
      </c>
    </row>
    <row r="11" spans="1:4" x14ac:dyDescent="0.25">
      <c r="A11" t="str">
        <f t="shared" si="0"/>
        <v>Moderado-HÍBRIDOS</v>
      </c>
      <c r="B11" t="s">
        <v>31</v>
      </c>
      <c r="C11" s="2" t="s">
        <v>25</v>
      </c>
      <c r="D11" s="27">
        <v>0.2</v>
      </c>
    </row>
    <row r="12" spans="1:4" x14ac:dyDescent="0.25">
      <c r="A12" t="str">
        <f t="shared" si="0"/>
        <v>Moderado-FOFs</v>
      </c>
      <c r="B12" t="s">
        <v>31</v>
      </c>
      <c r="C12" s="2" t="s">
        <v>26</v>
      </c>
      <c r="D12" s="27">
        <v>0.15</v>
      </c>
    </row>
    <row r="13" spans="1:4" x14ac:dyDescent="0.25">
      <c r="A13" t="str">
        <f t="shared" si="0"/>
        <v>Moderado-DESENVOLVIMENTO</v>
      </c>
      <c r="B13" t="s">
        <v>31</v>
      </c>
      <c r="C13" s="2" t="s">
        <v>27</v>
      </c>
      <c r="D13" s="27">
        <v>0.05</v>
      </c>
    </row>
    <row r="14" spans="1:4" ht="15.75" thickBot="1" x14ac:dyDescent="0.3">
      <c r="A14" s="33" t="str">
        <f t="shared" si="0"/>
        <v>Moderado-HOTELARIA</v>
      </c>
      <c r="B14" s="33" t="s">
        <v>31</v>
      </c>
      <c r="C14" s="34" t="s">
        <v>28</v>
      </c>
      <c r="D14" s="35">
        <v>0.0</v>
      </c>
    </row>
    <row r="15" spans="1:4" x14ac:dyDescent="0.25">
      <c r="A15" t="str">
        <f t="shared" si="0"/>
        <v>Agressivo-PAPEL</v>
      </c>
      <c r="B15" t="s">
        <v>32</v>
      </c>
      <c r="C15" s="2" t="s">
        <v>23</v>
      </c>
      <c r="D15" s="27">
        <v>0.25</v>
      </c>
    </row>
    <row r="16" spans="1:4" x14ac:dyDescent="0.25">
      <c r="A16" t="str">
        <f t="shared" si="0"/>
        <v>Agressivo-TIJOLO</v>
      </c>
      <c r="B16" t="s">
        <v>32</v>
      </c>
      <c r="C16" s="2" t="s">
        <v>24</v>
      </c>
      <c r="D16" s="27">
        <v>0.2</v>
      </c>
    </row>
    <row r="17" spans="1:4" x14ac:dyDescent="0.25">
      <c r="A17" t="str">
        <f t="shared" si="0"/>
        <v>Agressivo-HÍBRIDOS</v>
      </c>
      <c r="B17" t="s">
        <v>32</v>
      </c>
      <c r="C17" s="2" t="s">
        <v>25</v>
      </c>
      <c r="D17" s="27">
        <v>0.15</v>
      </c>
    </row>
    <row r="18" spans="1:4" x14ac:dyDescent="0.25">
      <c r="A18" t="str">
        <f t="shared" si="0"/>
        <v>Agressivo-FOFs</v>
      </c>
      <c r="B18" t="s">
        <v>32</v>
      </c>
      <c r="C18" s="2" t="s">
        <v>26</v>
      </c>
      <c r="D18" s="27">
        <v>0.15</v>
      </c>
    </row>
    <row r="19" spans="1:4" x14ac:dyDescent="0.25">
      <c r="A19" t="str">
        <f t="shared" si="0"/>
        <v>Agressivo-DESENVOLVIMENTO</v>
      </c>
      <c r="B19" t="s">
        <v>32</v>
      </c>
      <c r="C19" s="2" t="s">
        <v>27</v>
      </c>
      <c r="D19" s="27">
        <v>0.15</v>
      </c>
    </row>
    <row r="20" spans="1:4" x14ac:dyDescent="0.25">
      <c r="A20" t="str">
        <f t="shared" si="0"/>
        <v>Agressivo-HOTELARIA</v>
      </c>
      <c r="B20" t="s">
        <v>32</v>
      </c>
      <c r="C20" s="2" t="s">
        <v>28</v>
      </c>
      <c r="D20" s="27">
        <v>0.1</v>
      </c>
    </row>
  </sheetData>
  <pageMargins left="0.511811024" right="0.511811024" top="0.78740157499999996" bottom="0.78740157499999996" header="0.31496062000000002" footer="0.31496062000000002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7</vt:i4>
      </vt:variant>
    </vt:vector>
  </HeadingPairs>
  <TitlesOfParts>
    <vt:vector size="9" baseType="lpstr">
      <vt:lpstr>APP</vt:lpstr>
      <vt:lpstr>Planilha2</vt:lpstr>
      <vt:lpstr>aporte</vt:lpstr>
      <vt:lpstr>patrimonio</vt:lpstr>
      <vt:lpstr>qtd_anos</vt:lpstr>
      <vt:lpstr>rendimento_carteira</vt:lpstr>
      <vt:lpstr>salario</vt:lpstr>
      <vt:lpstr>sugestao_investimento</vt:lpstr>
      <vt:lpstr>taxa_mensal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Grifo</dc:creator>
  <cp:lastModifiedBy>Gabriel Grifo</cp:lastModifiedBy>
  <cp:lastPrinted>2026-10-11T01:10:02Z</cp:lastPrinted>
  <dcterms:created xsi:type="dcterms:W3CDTF">2026-10-05T01:48:42Z</dcterms:created>
  <dcterms:modified xsi:type="dcterms:W3CDTF">2026-10-11T04:24:31Z</dcterms:modified>
</cp:coreProperties>
</file>